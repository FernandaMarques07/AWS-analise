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5AE8\EXCELCNV\8ef6db6d-ce70-4566-8b65-81b73a3aaed0\"/>
    </mc:Choice>
  </mc:AlternateContent>
  <xr:revisionPtr revIDLastSave="0" documentId="8_{5291D3D7-2999-4AE9-8DBD-C07D21FB4743}" xr6:coauthVersionLast="47" xr6:coauthVersionMax="47" xr10:uidLastSave="{00000000-0000-0000-0000-000000000000}"/>
  <bookViews>
    <workbookView xWindow="-60" yWindow="-60" windowWidth="15480" windowHeight="11640" activeTab="2" xr2:uid="{5C6D3A84-E36F-4B53-93D6-B5A9BB07C57E}"/>
  </bookViews>
  <sheets>
    <sheet name="AWS" sheetId="1" r:id="rId1"/>
    <sheet name="Local" sheetId="2" r:id="rId2"/>
    <sheet name="Dashboard" sheetId="3" r:id="rId3"/>
  </sheets>
  <calcPr calcId="191028"/>
  <pivotCaches>
    <pivotCache cacheId="209" r:id="rId4"/>
    <pivotCache cacheId="23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3" l="1"/>
  <c r="R11" i="3"/>
  <c r="I2" i="1"/>
  <c r="J2" i="1"/>
  <c r="D2" i="1"/>
  <c r="D4" i="1"/>
  <c r="D3" i="1"/>
  <c r="I12" i="3" a="1"/>
  <c r="I12" i="3"/>
  <c r="I11" i="3" a="1"/>
  <c r="I11" i="3"/>
  <c r="E2" i="2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<sst xmlns="http://schemas.openxmlformats.org/spreadsheetml/2006/main" count="68" uniqueCount="38">
  <si>
    <t>Serviço AWS</t>
  </si>
  <si>
    <t>Tipo</t>
  </si>
  <si>
    <t>Preço Mensal</t>
  </si>
  <si>
    <t>Preço Mensal (R$)</t>
  </si>
  <si>
    <t>Resumo da Configuração</t>
  </si>
  <si>
    <t>ANUAL</t>
  </si>
  <si>
    <t>MENSAL</t>
  </si>
  <si>
    <t>Amazon EC2</t>
  </si>
  <si>
    <t>Mensal</t>
  </si>
  <si>
    <t>Linux; t3.medium; Compute Savings Plans (1 ano sem pagamento adiantado)</t>
  </si>
  <si>
    <t>Total (R$)</t>
  </si>
  <si>
    <t>Amazon S3</t>
  </si>
  <si>
    <t>S3 Standard; armazenamento de 500 GB</t>
  </si>
  <si>
    <t>Amazon RDS for MySQL</t>
  </si>
  <si>
    <t>db.t3.micro; Single-AZ; 20 GB SSD gp2</t>
  </si>
  <si>
    <t>Soma de Preço Mensal (R$)</t>
  </si>
  <si>
    <t>Mensal Total</t>
  </si>
  <si>
    <t>Total Geral</t>
  </si>
  <si>
    <t>Infraestrutura Local</t>
  </si>
  <si>
    <t>Preço</t>
  </si>
  <si>
    <t>Gasto Mensal</t>
  </si>
  <si>
    <t>Gasto Anual</t>
  </si>
  <si>
    <t>Compra de servidor</t>
  </si>
  <si>
    <t>Fixo</t>
  </si>
  <si>
    <t>Instalação</t>
  </si>
  <si>
    <t>Energia</t>
  </si>
  <si>
    <t>Manutenção técnica</t>
  </si>
  <si>
    <t>Troca de peças</t>
  </si>
  <si>
    <t>Anual</t>
  </si>
  <si>
    <t>Backup físico</t>
  </si>
  <si>
    <t>Soma de Preço</t>
  </si>
  <si>
    <t>Anual Total</t>
  </si>
  <si>
    <t>Fixo Total</t>
  </si>
  <si>
    <t>Comparação de gastos - Infraestrutura Local x AWS</t>
  </si>
  <si>
    <t>Dólar = $4,92</t>
  </si>
  <si>
    <t>Transformar grandes investimentos iniciais em custos operacionais menores e previsíveis.</t>
  </si>
  <si>
    <t>Gastos Atuais:</t>
  </si>
  <si>
    <t>Gastos com a AWS: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</si>
</sst>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_-[$R$-416]\ * #,##0.00_-;\-[$R$-416]\ * #,##0.00_-;_-[$R$-416]\ * &quot;-&quot;??_-;_-@_-"/>
    <numFmt numFmtId="167" formatCode="&quot;R$&quot;\ #,##0.0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8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1"/>
      <color rgb="FF000000"/>
      <name val="Britannic Bold"/>
    </font>
    <font>
      <b/>
      <sz val="12"/>
      <color rgb="FF000000"/>
      <name val="Aptos Narrow"/>
    </font>
    <font>
      <b/>
      <sz val="16"/>
      <color rgb="FF000000"/>
      <name val="Calibri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002060"/>
      </bottom>
      <diagonal/>
    </border>
    <border>
      <left style="medium">
        <color rgb="FF002060"/>
      </left>
      <right/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/>
      <top/>
      <bottom/>
      <diagonal/>
    </border>
    <border>
      <left/>
      <right style="thick">
        <color rgb="FF002060"/>
      </right>
      <top/>
      <bottom/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164" fontId="19" fillId="0" borderId="0" xfId="0" applyNumberFormat="1" applyFont="1"/>
    <xf numFmtId="164" fontId="0" fillId="0" borderId="0" xfId="0" applyNumberFormat="1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5" borderId="0" xfId="0" applyFill="1" applyBorder="1"/>
    <xf numFmtId="0" fontId="16" fillId="35" borderId="0" xfId="0" applyFont="1" applyFill="1" applyBorder="1"/>
    <xf numFmtId="0" fontId="20" fillId="35" borderId="10" xfId="0" applyFont="1" applyFill="1" applyBorder="1"/>
    <xf numFmtId="0" fontId="16" fillId="35" borderId="10" xfId="0" applyFont="1" applyFill="1" applyBorder="1"/>
    <xf numFmtId="0" fontId="0" fillId="35" borderId="10" xfId="0" applyFill="1" applyBorder="1"/>
    <xf numFmtId="0" fontId="22" fillId="35" borderId="17" xfId="0" applyFont="1" applyFill="1" applyBorder="1" applyAlignment="1"/>
    <xf numFmtId="0" fontId="21" fillId="35" borderId="14" xfId="0" applyFont="1" applyFill="1" applyBorder="1"/>
    <xf numFmtId="0" fontId="16" fillId="35" borderId="15" xfId="0" applyFont="1" applyFill="1" applyBorder="1"/>
    <xf numFmtId="0" fontId="16" fillId="35" borderId="16" xfId="0" applyFont="1" applyFill="1" applyBorder="1"/>
    <xf numFmtId="0" fontId="16" fillId="35" borderId="18" xfId="0" applyFont="1" applyFill="1" applyBorder="1"/>
    <xf numFmtId="0" fontId="16" fillId="35" borderId="19" xfId="0" applyFont="1" applyFill="1" applyBorder="1"/>
    <xf numFmtId="0" fontId="16" fillId="35" borderId="20" xfId="0" applyFont="1" applyFill="1" applyBorder="1"/>
    <xf numFmtId="165" fontId="0" fillId="0" borderId="0" xfId="0" applyNumberFormat="1"/>
    <xf numFmtId="0" fontId="16" fillId="0" borderId="0" xfId="0" applyFont="1" applyAlignment="1">
      <alignment wrapText="1"/>
    </xf>
    <xf numFmtId="165" fontId="19" fillId="0" borderId="0" xfId="0" applyNumberFormat="1" applyFont="1"/>
    <xf numFmtId="0" fontId="18" fillId="0" borderId="0" xfId="0" applyFont="1" applyBorder="1"/>
    <xf numFmtId="0" fontId="0" fillId="0" borderId="0" xfId="0" applyBorder="1"/>
    <xf numFmtId="0" fontId="23" fillId="0" borderId="0" xfId="0" applyFont="1" applyBorder="1" applyAlignment="1">
      <alignment wrapText="1"/>
    </xf>
    <xf numFmtId="165" fontId="0" fillId="0" borderId="0" xfId="0" applyNumberFormat="1" applyBorder="1"/>
    <xf numFmtId="0" fontId="18" fillId="0" borderId="13" xfId="0" applyFont="1" applyBorder="1"/>
    <xf numFmtId="0" fontId="21" fillId="0" borderId="12" xfId="0" applyFont="1" applyBorder="1"/>
    <xf numFmtId="165" fontId="19" fillId="0" borderId="0" xfId="0" applyNumberFormat="1" applyFont="1" applyBorder="1"/>
    <xf numFmtId="164" fontId="19" fillId="0" borderId="11" xfId="0" applyNumberFormat="1" applyFont="1" applyBorder="1"/>
    <xf numFmtId="0" fontId="25" fillId="34" borderId="0" xfId="0" applyFont="1" applyFill="1"/>
    <xf numFmtId="0" fontId="0" fillId="0" borderId="0" xfId="0" pivotButton="1"/>
    <xf numFmtId="0" fontId="24" fillId="35" borderId="24" xfId="0" applyFont="1" applyFill="1" applyBorder="1"/>
    <xf numFmtId="0" fontId="21" fillId="0" borderId="24" xfId="0" applyFont="1" applyFill="1" applyBorder="1"/>
    <xf numFmtId="0" fontId="27" fillId="0" borderId="27" xfId="0" applyFont="1" applyFill="1" applyBorder="1"/>
    <xf numFmtId="0" fontId="16" fillId="35" borderId="21" xfId="0" applyFont="1" applyFill="1" applyBorder="1"/>
    <xf numFmtId="0" fontId="16" fillId="35" borderId="22" xfId="0" applyFont="1" applyFill="1" applyBorder="1"/>
    <xf numFmtId="0" fontId="16" fillId="35" borderId="23" xfId="0" applyFont="1" applyFill="1" applyBorder="1"/>
    <xf numFmtId="0" fontId="28" fillId="35" borderId="25" xfId="0" applyFont="1" applyFill="1" applyBorder="1"/>
    <xf numFmtId="0" fontId="28" fillId="35" borderId="26" xfId="0" applyFont="1" applyFill="1" applyBorder="1"/>
    <xf numFmtId="165" fontId="26" fillId="0" borderId="29" xfId="0" applyNumberFormat="1" applyFont="1" applyFill="1" applyBorder="1"/>
    <xf numFmtId="165" fontId="26" fillId="0" borderId="30" xfId="0" applyNumberFormat="1" applyFont="1" applyFill="1" applyBorder="1"/>
    <xf numFmtId="164" fontId="0" fillId="0" borderId="0" xfId="0" applyNumberFormat="1" applyBorder="1"/>
    <xf numFmtId="0" fontId="23" fillId="0" borderId="0" xfId="0" applyFont="1" applyFill="1" applyBorder="1" applyAlignment="1">
      <alignment wrapText="1"/>
    </xf>
    <xf numFmtId="164" fontId="0" fillId="0" borderId="0" xfId="0" applyNumberFormat="1" applyFill="1" applyBorder="1"/>
    <xf numFmtId="165" fontId="0" fillId="0" borderId="0" xfId="0" applyNumberFormat="1" applyFill="1" applyBorder="1"/>
    <xf numFmtId="167" fontId="0" fillId="0" borderId="0" xfId="0" applyNumberFormat="1" applyBorder="1"/>
    <xf numFmtId="0" fontId="0" fillId="0" borderId="0" xfId="0" applyFill="1"/>
    <xf numFmtId="0" fontId="0" fillId="0" borderId="27" xfId="0" applyFill="1" applyBorder="1"/>
    <xf numFmtId="0" fontId="0" fillId="0" borderId="28" xfId="0" applyFill="1" applyBorder="1"/>
    <xf numFmtId="14" fontId="29" fillId="35" borderId="0" xfId="0" applyNumberFormat="1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164" formatCode="_-[$$-409]* #,##0.00_ ;_-[$$-409]* \-#,##0.00\ ;_-[$$-409]* &quot;-&quot;??_ ;_-@_ "/>
      <border diagonalUp="0" diagonalDown="0">
        <left style="medium">
          <color rgb="FF00206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165" formatCode="_-[$R$-416]\ * #,##0.00_-;\-[$R$-416]\ * #,##0.00_-;_-[$R$-416]\ * &quot;-&quot;??_-;_-@_-"/>
    </dxf>
    <dxf>
      <border outline="0">
        <bottom style="medium">
          <color rgb="FF002060"/>
        </bottom>
      </border>
    </dxf>
    <dxf>
      <border outline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numFmt numFmtId="165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[Estimativas - AWS.xlsx]Local!Tabela dinâmica2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Local!$C$10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Local!$A$11:$B$20</c:f>
              <c:multiLvlStrCache>
                <c:ptCount val="6"/>
                <c:lvl>
                  <c:pt idx="0">
                    <c:v>Backup físico</c:v>
                  </c:pt>
                  <c:pt idx="1">
                    <c:v>Troca de peças</c:v>
                  </c:pt>
                  <c:pt idx="2">
                    <c:v>Compra de servidor</c:v>
                  </c:pt>
                  <c:pt idx="3">
                    <c:v>Instalação</c:v>
                  </c:pt>
                  <c:pt idx="4">
                    <c:v>Energia</c:v>
                  </c:pt>
                  <c:pt idx="5">
                    <c:v>Manutenção técnica</c:v>
                  </c:pt>
                </c:lvl>
                <c:lvl>
                  <c:pt idx="0">
                    <c:v>Anual</c:v>
                  </c:pt>
                  <c:pt idx="2">
                    <c:v>Fixo</c:v>
                  </c:pt>
                  <c:pt idx="4">
                    <c:v>Mensal</c:v>
                  </c:pt>
                </c:lvl>
              </c:multiLvlStrCache>
            </c:multiLvlStrRef>
          </c:cat>
          <c:val>
            <c:numRef>
              <c:f>Local!$C$11:$C$20</c:f>
              <c:numCache>
                <c:formatCode>_-[$R$-416]\ * #,##0.00_-;\-[$R$-416]\ * #,##0.00_-;_-[$R$-416]\ * "-"??_-;_-@_-</c:formatCode>
                <c:ptCount val="6"/>
                <c:pt idx="0">
                  <c:v>300</c:v>
                </c:pt>
                <c:pt idx="1">
                  <c:v>600</c:v>
                </c:pt>
                <c:pt idx="2">
                  <c:v>2500</c:v>
                </c:pt>
                <c:pt idx="3">
                  <c:v>300</c:v>
                </c:pt>
                <c:pt idx="4">
                  <c:v>120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6-4ACA-817F-2B1ABDF58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549832"/>
        <c:axId val="833551880"/>
      </c:barChart>
      <c:catAx>
        <c:axId val="833549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51880"/>
        <c:crosses val="autoZero"/>
        <c:auto val="1"/>
        <c:lblAlgn val="ctr"/>
        <c:lblOffset val="100"/>
        <c:noMultiLvlLbl val="0"/>
      </c:catAx>
      <c:valAx>
        <c:axId val="833551880"/>
        <c:scaling>
          <c:orientation val="minMax"/>
        </c:scaling>
        <c:delete val="0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49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317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[Estimativas - AWS.xlsx]AWS!Tabela dinâmica5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AWS!$C$9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AWS!$A$10:$B$14</c:f>
              <c:multiLvlStrCache>
                <c:ptCount val="3"/>
                <c:lvl>
                  <c:pt idx="0">
                    <c:v>Amazon EC2</c:v>
                  </c:pt>
                  <c:pt idx="1">
                    <c:v>Amazon RDS for MySQL</c:v>
                  </c:pt>
                  <c:pt idx="2">
                    <c:v>Amazon S3</c:v>
                  </c:pt>
                </c:lvl>
                <c:lvl>
                  <c:pt idx="0">
                    <c:v>Mensal</c:v>
                  </c:pt>
                </c:lvl>
              </c:multiLvlStrCache>
            </c:multiLvlStrRef>
          </c:cat>
          <c:val>
            <c:numRef>
              <c:f>AWS!$C$10:$C$14</c:f>
              <c:numCache>
                <c:formatCode>_-[$$-409]* #,##0.00_ ;_-[$$-409]* \-#,##0.00\ ;_-[$$-409]* "-"??_ ;_-@_ </c:formatCode>
                <c:ptCount val="3"/>
                <c:pt idx="0">
                  <c:v>134.70959999999999</c:v>
                </c:pt>
                <c:pt idx="1">
                  <c:v>72.373199999999997</c:v>
                </c:pt>
                <c:pt idx="2">
                  <c:v>56.58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02-458D-808E-4EDA32E8C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067016"/>
        <c:axId val="833073160"/>
      </c:barChart>
      <c:catAx>
        <c:axId val="83306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073160"/>
        <c:crosses val="autoZero"/>
        <c:auto val="1"/>
        <c:lblAlgn val="ctr"/>
        <c:lblOffset val="100"/>
        <c:noMultiLvlLbl val="0"/>
      </c:catAx>
      <c:valAx>
        <c:axId val="833073160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067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676275</xdr:colOff>
      <xdr:row>13</xdr:row>
      <xdr:rowOff>0</xdr:rowOff>
    </xdr:from>
    <xdr:to>
      <xdr:col>18</xdr:col>
      <xdr:colOff>142875</xdr:colOff>
      <xdr:row>27</xdr:row>
      <xdr:rowOff>123825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809CC861-BCB9-4BC5-BEA2-18E8316527A9}"/>
            </a:ext>
            <a:ext uri="{147F2762-F138-4A5C-976F-8EAC2B608ADB}">
              <a16:predDERef xmlns:a16="http://schemas.microsoft.com/office/drawing/2014/main" pred="{3D8138FF-88C3-0CA9-580F-1B2DD7A697C9}"/>
            </a:ext>
          </a:extLst>
        </xdr:cNvPr>
        <xdr:cNvSpPr/>
      </xdr:nvSpPr>
      <xdr:spPr>
        <a:xfrm>
          <a:off x="7648575" y="2676525"/>
          <a:ext cx="4781550" cy="2790825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28575</xdr:colOff>
      <xdr:row>12</xdr:row>
      <xdr:rowOff>180975</xdr:rowOff>
    </xdr:from>
    <xdr:to>
      <xdr:col>9</xdr:col>
      <xdr:colOff>28575</xdr:colOff>
      <xdr:row>27</xdr:row>
      <xdr:rowOff>114300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867DA9C3-8109-BC1A-0AAA-8C0F0DA7FDA4}"/>
            </a:ext>
            <a:ext uri="{147F2762-F138-4A5C-976F-8EAC2B608ADB}">
              <a16:predDERef xmlns:a16="http://schemas.microsoft.com/office/drawing/2014/main" pred="{A982BC6E-10DA-7AE9-41A6-CB96C4EB816B}"/>
            </a:ext>
          </a:extLst>
        </xdr:cNvPr>
        <xdr:cNvSpPr/>
      </xdr:nvSpPr>
      <xdr:spPr>
        <a:xfrm>
          <a:off x="1609725" y="2667000"/>
          <a:ext cx="4781550" cy="2790825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0</xdr:col>
      <xdr:colOff>142875</xdr:colOff>
      <xdr:row>0</xdr:row>
      <xdr:rowOff>133350</xdr:rowOff>
    </xdr:from>
    <xdr:to>
      <xdr:col>0</xdr:col>
      <xdr:colOff>781050</xdr:colOff>
      <xdr:row>2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5EA901-1E04-BA78-1822-E0FBD9828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33350"/>
          <a:ext cx="638175" cy="428625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13</xdr:row>
      <xdr:rowOff>38100</xdr:rowOff>
    </xdr:from>
    <xdr:to>
      <xdr:col>8</xdr:col>
      <xdr:colOff>685800</xdr:colOff>
      <xdr:row>27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82BC6E-10DA-7AE9-41A6-CB96C4EB816B}"/>
            </a:ext>
            <a:ext uri="{147F2762-F138-4A5C-976F-8EAC2B608ADB}">
              <a16:predDERef xmlns:a16="http://schemas.microsoft.com/office/drawing/2014/main" pred="{9B5EA901-1E04-BA78-1822-E0FBD9828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790575</xdr:colOff>
      <xdr:row>13</xdr:row>
      <xdr:rowOff>9525</xdr:rowOff>
    </xdr:from>
    <xdr:to>
      <xdr:col>18</xdr:col>
      <xdr:colOff>47625</xdr:colOff>
      <xdr:row>27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8138FF-88C3-0CA9-580F-1B2DD7A697C9}"/>
            </a:ext>
            <a:ext uri="{147F2762-F138-4A5C-976F-8EAC2B608ADB}">
              <a16:predDERef xmlns:a16="http://schemas.microsoft.com/office/drawing/2014/main" pred="{A982BC6E-10DA-7AE9-41A6-CB96C4EB8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1.742698958333" createdVersion="8" refreshedVersion="8" minRefreshableVersion="3" recordCount="6" xr:uid="{AFA13462-3B19-406A-9B5F-FA48E05717F3}">
  <cacheSource type="worksheet">
    <worksheetSource name="Tabela1"/>
  </cacheSource>
  <cacheFields count="3">
    <cacheField name="Infraestrutura Local" numFmtId="0">
      <sharedItems count="6">
        <s v="Compra de servidor"/>
        <s v="Instalação"/>
        <s v="Energia"/>
        <s v="Manutenção técnica"/>
        <s v="Troca de peças"/>
        <s v="Backup físico"/>
      </sharedItems>
    </cacheField>
    <cacheField name="Tipo" numFmtId="0">
      <sharedItems count="3">
        <s v="Fixo"/>
        <s v="Mensal"/>
        <s v="Anual"/>
      </sharedItems>
    </cacheField>
    <cacheField name="Preço" numFmtId="165">
      <sharedItems containsSemiMixedTypes="0" containsString="0" containsNumber="1" containsInteger="1" minValue="12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1.754582175927" createdVersion="8" refreshedVersion="8" minRefreshableVersion="3" recordCount="3" xr:uid="{ECCB97F0-DED7-47D5-B51F-84B22FFD87FA}">
  <cacheSource type="worksheet">
    <worksheetSource name="Tabela2"/>
  </cacheSource>
  <cacheFields count="5">
    <cacheField name="Serviço AWS" numFmtId="0">
      <sharedItems count="3">
        <s v="Amazon EC2"/>
        <s v="Amazon S3"/>
        <s v="Amazon RDS for MySQL"/>
      </sharedItems>
    </cacheField>
    <cacheField name="Tipo" numFmtId="0">
      <sharedItems count="1">
        <s v="Mensal"/>
      </sharedItems>
    </cacheField>
    <cacheField name="Preço Mensal" numFmtId="164">
      <sharedItems containsSemiMixedTypes="0" containsString="0" containsNumber="1" minValue="11.5" maxValue="27.38"/>
    </cacheField>
    <cacheField name="Preço Mensal (R$)" numFmtId="164">
      <sharedItems containsSemiMixedTypes="0" containsString="0" containsNumber="1" minValue="56.58" maxValue="134.70959999999999"/>
    </cacheField>
    <cacheField name="Resumo da Configuraçã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2500"/>
  </r>
  <r>
    <x v="1"/>
    <x v="0"/>
    <n v="300"/>
  </r>
  <r>
    <x v="2"/>
    <x v="1"/>
    <n v="120"/>
  </r>
  <r>
    <x v="3"/>
    <x v="1"/>
    <n v="200"/>
  </r>
  <r>
    <x v="4"/>
    <x v="2"/>
    <n v="600"/>
  </r>
  <r>
    <x v="5"/>
    <x v="2"/>
    <n v="3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27.38"/>
    <n v="134.70959999999999"/>
    <s v="Linux; t3.medium; Compute Savings Plans (1 ano sem pagamento adiantado)"/>
  </r>
  <r>
    <x v="1"/>
    <x v="0"/>
    <n v="11.5"/>
    <n v="56.58"/>
    <s v="S3 Standard; armazenamento de 500 GB"/>
  </r>
  <r>
    <x v="2"/>
    <x v="0"/>
    <n v="14.71"/>
    <n v="72.373199999999997"/>
    <s v="db.t3.micro; Single-AZ; 20 GB SSD gp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D9835-02E7-431D-9AC4-EE2F379D8591}" name="Tabela dinâmica5" cacheId="2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9:C14" firstHeaderRow="1" firstDataRow="1" firstDataCol="2"/>
  <pivotFields count="5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>
      <items count="2">
        <item x="0"/>
        <item t="default"/>
      </items>
    </pivotField>
    <pivotField compact="0" numFmtId="164" outline="0" showAll="0"/>
    <pivotField dataField="1" compact="0" numFmtId="164" outline="0" showAll="0"/>
    <pivotField compact="0" outline="0" showAll="0"/>
  </pivotFields>
  <rowFields count="2">
    <field x="1"/>
    <field x="0"/>
  </rowFields>
  <rowItems count="5">
    <i>
      <x/>
      <x/>
    </i>
    <i r="1">
      <x v="1"/>
    </i>
    <i r="1">
      <x v="2"/>
    </i>
    <i t="default">
      <x/>
    </i>
    <i t="grand">
      <x/>
    </i>
  </rowItems>
  <colItems count="1">
    <i/>
  </colItems>
  <dataFields count="1">
    <dataField name="Soma de Preço Mensal (R$)" fld="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C73D9-18B6-4130-B13A-4FCCDD86D5A9}" name="Tabela dinâmica2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10:C20" firstHeaderRow="1" firstDataRow="1" firstDataCol="2"/>
  <pivotFields count="3">
    <pivotField axis="axisRow" compact="0" outline="0" showAll="0">
      <items count="7">
        <item x="5"/>
        <item x="0"/>
        <item x="2"/>
        <item x="1"/>
        <item x="3"/>
        <item x="4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dataField="1" compact="0" numFmtId="165" outline="0" showAll="0"/>
  </pivotFields>
  <rowFields count="2">
    <field x="1"/>
    <field x="0"/>
  </rowFields>
  <rowItems count="10">
    <i>
      <x/>
      <x/>
    </i>
    <i r="1">
      <x v="5"/>
    </i>
    <i t="default">
      <x/>
    </i>
    <i>
      <x v="1"/>
      <x v="1"/>
    </i>
    <i r="1">
      <x v="3"/>
    </i>
    <i t="default">
      <x v="1"/>
    </i>
    <i>
      <x v="2"/>
      <x v="2"/>
    </i>
    <i r="1">
      <x v="4"/>
    </i>
    <i t="default">
      <x v="2"/>
    </i>
    <i t="grand">
      <x/>
    </i>
  </rowItems>
  <colItems count="1">
    <i/>
  </colItems>
  <dataFields count="1">
    <dataField name="Soma de Preço" fld="2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7E71AF-BE95-4F44-A45A-F693D9434928}" name="Tabela2" displayName="Tabela2" ref="A1:E4" totalsRowShown="0" headerRowDxfId="9">
  <autoFilter ref="A1:E4" xr:uid="{B67E71AF-BE95-4F44-A45A-F693D9434928}"/>
  <tableColumns count="5">
    <tableColumn id="1" xr3:uid="{95F69315-179E-4F49-9BE5-902E8A890D7C}" name="Serviço AWS"/>
    <tableColumn id="2" xr3:uid="{0C882D9F-0E23-407B-B905-4BF3A919CDA2}" name="Tipo"/>
    <tableColumn id="5" xr3:uid="{A17122C6-A33D-414D-9C75-950709938FA1}" name="Preço Mensal" dataDxfId="8"/>
    <tableColumn id="3" xr3:uid="{D7D6DF3D-4BD0-4279-B736-52AC7196432A}" name="Preço Mensal (R$)" dataDxfId="7">
      <calculatedColumnFormula>PRODUCT(Tabela2[[#This Row],[Preço Mensal]], 4.92)</calculatedColumnFormula>
    </tableColumn>
    <tableColumn id="4" xr3:uid="{7720CB72-95D9-4914-B7F0-9B281440CFBD}" name="Resumo da Configuração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C8113-A18E-420B-B65E-D225CBDAF695}" name="Tabela1" displayName="Tabela1" ref="A1:C7" totalsRowShown="0" headerRowDxfId="5">
  <autoFilter ref="A1:C7" xr:uid="{BBFC8113-A18E-420B-B65E-D225CBDAF695}"/>
  <tableColumns count="3">
    <tableColumn id="1" xr3:uid="{38D57713-9415-4432-86E5-65DAD011A3DC}" name="Infraestrutura Local"/>
    <tableColumn id="3" xr3:uid="{9C99F00F-C45A-4CC9-9DB2-55E70BD34B2A}" name="Tipo"/>
    <tableColumn id="2" xr3:uid="{96A6C691-BE22-4300-B6B2-5DAE9608F7A9}" name="Preço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60C509-8D89-44E8-878E-379B6B3ED64B}" name="Tabela4" displayName="Tabela4" ref="E1:F2" totalsRowShown="0" headerRowBorderDxfId="2" tableBorderDxfId="3">
  <autoFilter ref="E1:F2" xr:uid="{3460C509-8D89-44E8-878E-379B6B3ED64B}"/>
  <tableColumns count="2">
    <tableColumn id="1" xr3:uid="{059BEF1B-681E-484F-9BAF-1556443B3971}" name="Gasto Mensal" dataDxfId="1">
      <calculatedColumnFormula>SUM(C4:C5)</calculatedColumnFormula>
    </tableColumn>
    <tableColumn id="2" xr3:uid="{94AF7CF3-568C-4B45-AE68-3EB19F9EFB08}" name="Gasto Anual" dataDxfId="0">
      <calculatedColumnFormula xml:space="preserve"> SUM(Tabela1[Preço])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88A0-5DAC-4AE9-897B-A28A37302D56}">
  <dimension ref="A1:J14"/>
  <sheetViews>
    <sheetView workbookViewId="0">
      <selection activeCell="A9" sqref="A9"/>
    </sheetView>
  </sheetViews>
  <sheetFormatPr defaultRowHeight="15"/>
  <cols>
    <col min="1" max="2" width="21.5703125" bestFit="1" customWidth="1"/>
    <col min="3" max="3" width="25.140625" bestFit="1" customWidth="1"/>
    <col min="4" max="4" width="32.140625" customWidth="1"/>
    <col min="5" max="5" width="30.7109375" customWidth="1"/>
    <col min="6" max="6" width="15" style="7" bestFit="1" customWidth="1"/>
    <col min="7" max="7" width="25.28515625" style="3" customWidth="1"/>
    <col min="8" max="8" width="10.5703125" bestFit="1" customWidth="1"/>
    <col min="9" max="9" width="12.140625" bestFit="1" customWidth="1"/>
    <col min="10" max="10" width="14.7109375" customWidth="1"/>
  </cols>
  <sheetData>
    <row r="1" spans="1:10" ht="21.75" customHeight="1">
      <c r="A1" s="8" t="s">
        <v>0</v>
      </c>
      <c r="B1" s="8" t="s">
        <v>1</v>
      </c>
      <c r="C1" s="8" t="s">
        <v>2</v>
      </c>
      <c r="D1" s="8" t="s">
        <v>3</v>
      </c>
      <c r="E1" s="26" t="s">
        <v>4</v>
      </c>
      <c r="F1"/>
      <c r="G1"/>
      <c r="H1" s="3"/>
      <c r="I1" s="8" t="s">
        <v>5</v>
      </c>
      <c r="J1" s="8" t="s">
        <v>6</v>
      </c>
    </row>
    <row r="2" spans="1:10" ht="58.5" customHeight="1">
      <c r="A2" t="s">
        <v>7</v>
      </c>
      <c r="B2" t="s">
        <v>8</v>
      </c>
      <c r="C2" s="7">
        <v>27.38</v>
      </c>
      <c r="D2" s="7">
        <f>PRODUCT(Tabela2[[#This Row],[Preço Mensal]], 4.92)</f>
        <v>134.70959999999999</v>
      </c>
      <c r="E2" s="3" t="s">
        <v>9</v>
      </c>
      <c r="F2" s="2"/>
      <c r="G2" s="2"/>
      <c r="H2" s="30" t="s">
        <v>10</v>
      </c>
      <c r="I2" s="52">
        <f>PRODUCT(J2, 12)</f>
        <v>3163.9535999999998</v>
      </c>
      <c r="J2" s="31">
        <f>SUM(Tabela2[Preço Mensal (R$)])</f>
        <v>263.6628</v>
      </c>
    </row>
    <row r="3" spans="1:10" ht="51.75" customHeight="1">
      <c r="A3" t="s">
        <v>11</v>
      </c>
      <c r="B3" t="s">
        <v>8</v>
      </c>
      <c r="C3" s="7">
        <v>11.5</v>
      </c>
      <c r="D3" s="7">
        <f>PRODUCT(Tabela2[[#This Row],[Preço Mensal]], 4.92)</f>
        <v>56.58</v>
      </c>
      <c r="E3" s="3" t="s">
        <v>12</v>
      </c>
      <c r="F3" s="2"/>
      <c r="G3" s="2"/>
      <c r="H3" s="49"/>
      <c r="I3" s="50"/>
      <c r="J3" s="48"/>
    </row>
    <row r="4" spans="1:10" ht="41.25" customHeight="1">
      <c r="A4" t="s">
        <v>13</v>
      </c>
      <c r="B4" t="s">
        <v>8</v>
      </c>
      <c r="C4" s="7">
        <v>14.71</v>
      </c>
      <c r="D4" s="7">
        <f>PRODUCT(Tabela2[[#This Row],[Preço Mensal]], 4.92)</f>
        <v>72.373199999999997</v>
      </c>
      <c r="E4" s="3" t="s">
        <v>14</v>
      </c>
      <c r="F4" s="2"/>
      <c r="G4" s="2"/>
      <c r="H4" s="49"/>
      <c r="I4" s="51"/>
      <c r="J4" s="31"/>
    </row>
    <row r="5" spans="1:10" ht="15.75">
      <c r="A5" s="8"/>
      <c r="C5" s="8"/>
      <c r="D5" s="3"/>
      <c r="E5" s="2"/>
      <c r="F5" s="2"/>
      <c r="G5" s="4"/>
    </row>
    <row r="6" spans="1:10" ht="15.75">
      <c r="B6" s="1"/>
      <c r="C6" s="2"/>
      <c r="D6" s="2"/>
      <c r="E6" s="2"/>
      <c r="F6" s="2"/>
      <c r="G6" s="4"/>
    </row>
    <row r="7" spans="1:10" ht="15.75">
      <c r="D7" s="1"/>
      <c r="E7" s="1"/>
      <c r="F7" s="1"/>
      <c r="G7" s="5"/>
    </row>
    <row r="8" spans="1:10" ht="15.75">
      <c r="D8" s="2"/>
      <c r="E8" s="6"/>
      <c r="F8" s="6"/>
      <c r="G8" s="4"/>
    </row>
    <row r="9" spans="1:10" ht="15.75">
      <c r="A9" s="37" t="s">
        <v>1</v>
      </c>
      <c r="B9" s="37" t="s">
        <v>0</v>
      </c>
      <c r="C9" t="s">
        <v>15</v>
      </c>
      <c r="D9" s="2"/>
      <c r="E9" s="6"/>
      <c r="F9" s="6"/>
      <c r="G9" s="4"/>
    </row>
    <row r="10" spans="1:10" ht="15.75">
      <c r="A10" t="s">
        <v>8</v>
      </c>
      <c r="B10" t="s">
        <v>7</v>
      </c>
      <c r="C10" s="7">
        <v>134.70959999999999</v>
      </c>
      <c r="D10" s="2"/>
      <c r="E10" s="6"/>
      <c r="F10" s="6"/>
      <c r="G10" s="4"/>
    </row>
    <row r="11" spans="1:10">
      <c r="B11" t="s">
        <v>13</v>
      </c>
      <c r="C11" s="7">
        <v>72.373199999999997</v>
      </c>
    </row>
    <row r="12" spans="1:10">
      <c r="B12" t="s">
        <v>11</v>
      </c>
      <c r="C12" s="7">
        <v>56.58</v>
      </c>
    </row>
    <row r="13" spans="1:10">
      <c r="A13" t="s">
        <v>16</v>
      </c>
      <c r="C13" s="7">
        <v>263.6628</v>
      </c>
    </row>
    <row r="14" spans="1:10">
      <c r="A14" t="s">
        <v>17</v>
      </c>
      <c r="C14" s="7">
        <v>263.6628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C2C2-9934-42B0-A78F-9F8E8E8ECBE6}">
  <dimension ref="A1:H20"/>
  <sheetViews>
    <sheetView topLeftCell="B5" workbookViewId="0">
      <selection activeCell="F10" sqref="F10"/>
    </sheetView>
  </sheetViews>
  <sheetFormatPr defaultRowHeight="15"/>
  <cols>
    <col min="1" max="1" width="10.7109375" bestFit="1" customWidth="1"/>
    <col min="2" max="2" width="21.5703125" customWidth="1"/>
    <col min="3" max="3" width="14" bestFit="1" customWidth="1"/>
    <col min="4" max="4" width="14.7109375" bestFit="1" customWidth="1"/>
    <col min="5" max="5" width="22.28515625" bestFit="1" customWidth="1"/>
    <col min="6" max="6" width="14.7109375" customWidth="1"/>
  </cols>
  <sheetData>
    <row r="1" spans="1:8" ht="15.75">
      <c r="A1" s="8" t="s">
        <v>18</v>
      </c>
      <c r="B1" s="8" t="s">
        <v>1</v>
      </c>
      <c r="C1" s="8" t="s">
        <v>19</v>
      </c>
      <c r="E1" s="32" t="s">
        <v>20</v>
      </c>
      <c r="F1" s="33" t="s">
        <v>21</v>
      </c>
      <c r="G1" s="28"/>
      <c r="H1" s="29"/>
    </row>
    <row r="2" spans="1:8" ht="15.75">
      <c r="A2" t="s">
        <v>22</v>
      </c>
      <c r="B2" t="s">
        <v>23</v>
      </c>
      <c r="C2" s="25">
        <v>2500</v>
      </c>
      <c r="D2" s="8"/>
      <c r="E2" s="34">
        <f>SUM(C4:C5)</f>
        <v>320</v>
      </c>
      <c r="F2" s="35">
        <f xml:space="preserve"> SUM(Tabela1[Preço])</f>
        <v>4020</v>
      </c>
      <c r="G2" s="29"/>
      <c r="H2" s="29"/>
    </row>
    <row r="3" spans="1:8" ht="15.75">
      <c r="A3" t="s">
        <v>24</v>
      </c>
      <c r="B3" t="s">
        <v>23</v>
      </c>
      <c r="C3" s="25">
        <v>300</v>
      </c>
      <c r="E3" s="2"/>
      <c r="F3" s="6"/>
      <c r="G3" s="29"/>
      <c r="H3" s="29"/>
    </row>
    <row r="4" spans="1:8" ht="15.75">
      <c r="A4" t="s">
        <v>25</v>
      </c>
      <c r="B4" t="s">
        <v>8</v>
      </c>
      <c r="C4" s="25">
        <v>120</v>
      </c>
      <c r="E4" s="2"/>
      <c r="F4" s="6"/>
    </row>
    <row r="5" spans="1:8">
      <c r="A5" t="s">
        <v>26</v>
      </c>
      <c r="B5" t="s">
        <v>8</v>
      </c>
      <c r="C5" s="25">
        <v>200</v>
      </c>
    </row>
    <row r="6" spans="1:8" ht="15.75">
      <c r="A6" t="s">
        <v>27</v>
      </c>
      <c r="B6" t="s">
        <v>28</v>
      </c>
      <c r="C6" s="25">
        <v>600</v>
      </c>
      <c r="G6" s="27"/>
    </row>
    <row r="7" spans="1:8">
      <c r="A7" t="s">
        <v>29</v>
      </c>
      <c r="B7" t="s">
        <v>28</v>
      </c>
      <c r="C7" s="25">
        <v>300</v>
      </c>
    </row>
    <row r="10" spans="1:8">
      <c r="A10" s="37" t="s">
        <v>1</v>
      </c>
      <c r="B10" s="37" t="s">
        <v>18</v>
      </c>
      <c r="C10" t="s">
        <v>30</v>
      </c>
    </row>
    <row r="11" spans="1:8">
      <c r="A11" t="s">
        <v>28</v>
      </c>
      <c r="B11" t="s">
        <v>29</v>
      </c>
      <c r="C11" s="25">
        <v>300</v>
      </c>
    </row>
    <row r="12" spans="1:8">
      <c r="B12" t="s">
        <v>27</v>
      </c>
      <c r="C12" s="25">
        <v>600</v>
      </c>
    </row>
    <row r="13" spans="1:8">
      <c r="A13" t="s">
        <v>31</v>
      </c>
      <c r="C13" s="25">
        <v>900</v>
      </c>
    </row>
    <row r="14" spans="1:8">
      <c r="A14" t="s">
        <v>23</v>
      </c>
      <c r="B14" t="s">
        <v>22</v>
      </c>
      <c r="C14" s="25">
        <v>2500</v>
      </c>
    </row>
    <row r="15" spans="1:8">
      <c r="B15" t="s">
        <v>24</v>
      </c>
      <c r="C15" s="25">
        <v>300</v>
      </c>
    </row>
    <row r="16" spans="1:8">
      <c r="A16" t="s">
        <v>32</v>
      </c>
      <c r="C16" s="25">
        <v>2800</v>
      </c>
    </row>
    <row r="17" spans="1:3">
      <c r="A17" t="s">
        <v>8</v>
      </c>
      <c r="B17" t="s">
        <v>25</v>
      </c>
      <c r="C17" s="25">
        <v>120</v>
      </c>
    </row>
    <row r="18" spans="1:3">
      <c r="B18" t="s">
        <v>26</v>
      </c>
      <c r="C18" s="25">
        <v>200</v>
      </c>
    </row>
    <row r="19" spans="1:3">
      <c r="A19" t="s">
        <v>16</v>
      </c>
      <c r="C19" s="25">
        <v>320</v>
      </c>
    </row>
    <row r="20" spans="1:3">
      <c r="A20" t="s">
        <v>17</v>
      </c>
      <c r="C20" s="25">
        <v>4020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8306-1FD4-4FC9-B285-F8ABFC3C8ED9}">
  <dimension ref="A1:AD35"/>
  <sheetViews>
    <sheetView tabSelected="1" workbookViewId="0">
      <selection activeCell="L3" sqref="L3"/>
    </sheetView>
  </sheetViews>
  <sheetFormatPr defaultRowHeight="15"/>
  <cols>
    <col min="1" max="1" width="14.5703125" style="9" customWidth="1"/>
    <col min="4" max="4" width="12.28515625" customWidth="1"/>
    <col min="9" max="9" width="13.7109375" customWidth="1"/>
    <col min="11" max="11" width="12" customWidth="1"/>
    <col min="12" max="12" width="11.140625" bestFit="1" customWidth="1"/>
    <col min="18" max="18" width="12.85546875" bestFit="1" customWidth="1"/>
  </cols>
  <sheetData>
    <row r="1" spans="2:30" s="9" customFormat="1"/>
    <row r="2" spans="2:30" s="9" customFormat="1"/>
    <row r="3" spans="2:30">
      <c r="B3" s="13"/>
      <c r="C3" s="13"/>
      <c r="D3" s="13"/>
      <c r="E3" s="13"/>
      <c r="F3" s="13"/>
      <c r="G3" s="13"/>
      <c r="H3" s="13"/>
      <c r="I3" s="13"/>
      <c r="J3" s="13"/>
      <c r="K3" s="13"/>
      <c r="L3" s="56">
        <v>46151</v>
      </c>
      <c r="M3" s="13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2:30" ht="23.25">
      <c r="B4" s="13"/>
      <c r="C4" s="15" t="s">
        <v>33</v>
      </c>
      <c r="D4" s="16"/>
      <c r="E4" s="16"/>
      <c r="F4" s="16"/>
      <c r="G4" s="16"/>
      <c r="H4" s="16"/>
      <c r="I4" s="16"/>
      <c r="J4" s="16"/>
      <c r="K4" s="17"/>
      <c r="L4" s="13"/>
      <c r="M4" s="13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2:30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2"/>
      <c r="T5" s="12"/>
      <c r="U5" s="53"/>
      <c r="V5" s="53"/>
      <c r="W5" s="53"/>
      <c r="X5" s="53"/>
      <c r="Y5" s="53"/>
      <c r="Z5" s="53"/>
      <c r="AA5" s="53"/>
      <c r="AB5" s="53"/>
      <c r="AC5" s="53"/>
      <c r="AD5" s="53"/>
    </row>
    <row r="6" spans="2:30" ht="15.75">
      <c r="B6" s="10"/>
      <c r="C6" s="19"/>
      <c r="D6" s="20"/>
      <c r="E6" s="20"/>
      <c r="F6" s="20"/>
      <c r="G6" s="20"/>
      <c r="H6" s="20"/>
      <c r="I6" s="20"/>
      <c r="J6" s="20"/>
      <c r="K6" s="21"/>
      <c r="L6" s="10"/>
      <c r="M6" s="54" t="s">
        <v>34</v>
      </c>
      <c r="N6" s="55"/>
      <c r="O6" s="10"/>
      <c r="P6" s="10"/>
      <c r="Q6" s="10"/>
      <c r="R6" s="10"/>
      <c r="S6" s="12"/>
      <c r="T6" s="12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spans="2:30">
      <c r="B7" s="10"/>
      <c r="C7" s="18" t="s">
        <v>35</v>
      </c>
      <c r="D7" s="14"/>
      <c r="E7" s="14"/>
      <c r="F7" s="14"/>
      <c r="G7" s="14"/>
      <c r="H7" s="14"/>
      <c r="I7" s="14"/>
      <c r="J7" s="14"/>
      <c r="K7" s="22"/>
      <c r="L7" s="10"/>
      <c r="M7" s="10"/>
      <c r="N7" s="10"/>
      <c r="O7" s="10"/>
      <c r="P7" s="10"/>
      <c r="Q7" s="10"/>
      <c r="R7" s="10"/>
      <c r="S7" s="12"/>
      <c r="T7" s="12"/>
      <c r="U7" s="53"/>
      <c r="V7" s="53"/>
      <c r="W7" s="53"/>
      <c r="X7" s="53"/>
      <c r="Y7" s="53"/>
      <c r="Z7" s="53"/>
      <c r="AA7" s="53"/>
      <c r="AB7" s="53"/>
      <c r="AC7" s="53"/>
      <c r="AD7" s="53"/>
    </row>
    <row r="8" spans="2:30">
      <c r="B8" s="10"/>
      <c r="C8" s="23"/>
      <c r="D8" s="16"/>
      <c r="E8" s="16"/>
      <c r="F8" s="16"/>
      <c r="G8" s="16"/>
      <c r="H8" s="16"/>
      <c r="I8" s="16"/>
      <c r="J8" s="16"/>
      <c r="K8" s="24"/>
      <c r="L8" s="10"/>
      <c r="M8" s="10"/>
      <c r="N8" s="10"/>
      <c r="O8" s="10"/>
      <c r="P8" s="10"/>
      <c r="Q8" s="10"/>
      <c r="R8" s="10"/>
      <c r="S8" s="12"/>
      <c r="T8" s="12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 spans="2:30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2"/>
      <c r="T9" s="12"/>
      <c r="U9" s="53"/>
      <c r="V9" s="53"/>
      <c r="W9" s="53"/>
      <c r="X9" s="53"/>
      <c r="Y9" s="53"/>
      <c r="Z9" s="53"/>
      <c r="AA9" s="53"/>
      <c r="AB9" s="53"/>
      <c r="AC9" s="53"/>
      <c r="AD9" s="53"/>
    </row>
    <row r="10" spans="2:30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2"/>
      <c r="T10" s="12"/>
      <c r="U10" s="53"/>
      <c r="V10" s="53"/>
      <c r="W10" s="53"/>
      <c r="X10" s="53"/>
      <c r="Y10" s="53"/>
      <c r="Z10" s="53"/>
      <c r="AA10" s="53"/>
      <c r="AB10" s="53"/>
      <c r="AC10" s="53"/>
      <c r="AD10" s="53"/>
    </row>
    <row r="11" spans="2:30" ht="15.75">
      <c r="B11" s="10"/>
      <c r="C11" s="41"/>
      <c r="D11" s="42"/>
      <c r="E11" s="42"/>
      <c r="F11" s="43"/>
      <c r="G11" s="10"/>
      <c r="H11" s="40" t="s">
        <v>28</v>
      </c>
      <c r="I11" s="46" cm="1">
        <f t="array" ref="I11">Tabela4[Gasto Anual]</f>
        <v>4020</v>
      </c>
      <c r="J11" s="12"/>
      <c r="K11" s="12"/>
      <c r="L11" s="41"/>
      <c r="M11" s="42"/>
      <c r="N11" s="42"/>
      <c r="O11" s="43"/>
      <c r="P11" s="10"/>
      <c r="Q11" s="40" t="s">
        <v>28</v>
      </c>
      <c r="R11" s="46">
        <f>AWS!I2</f>
        <v>3163.9535999999998</v>
      </c>
      <c r="S11" s="12"/>
      <c r="T11" s="12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spans="2:30" ht="21">
      <c r="B12" s="10"/>
      <c r="C12" s="38" t="s">
        <v>36</v>
      </c>
      <c r="D12" s="44"/>
      <c r="E12" s="44"/>
      <c r="F12" s="45"/>
      <c r="G12" s="36"/>
      <c r="H12" s="39" t="s">
        <v>8</v>
      </c>
      <c r="I12" s="47" cm="1">
        <f t="array" ref="I12">Tabela4[Gasto Mensal]</f>
        <v>320</v>
      </c>
      <c r="J12" s="12"/>
      <c r="K12" s="12"/>
      <c r="L12" s="38" t="s">
        <v>37</v>
      </c>
      <c r="M12" s="44"/>
      <c r="N12" s="44"/>
      <c r="O12" s="45"/>
      <c r="P12" s="10"/>
      <c r="Q12" s="39" t="s">
        <v>8</v>
      </c>
      <c r="R12" s="47">
        <f>AWS!J2</f>
        <v>263.6628</v>
      </c>
      <c r="S12" s="12"/>
      <c r="T12" s="12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spans="2:30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2"/>
      <c r="T13" s="12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spans="2:30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2"/>
      <c r="T14" s="12"/>
      <c r="U14" s="53"/>
      <c r="V14" s="53"/>
      <c r="W14" s="53"/>
      <c r="X14" s="53"/>
      <c r="Y14" s="53"/>
      <c r="Z14" s="53"/>
      <c r="AA14" s="53"/>
      <c r="AB14" s="53"/>
      <c r="AC14" s="53"/>
      <c r="AD14" s="53"/>
    </row>
    <row r="15" spans="2:30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2"/>
      <c r="T15" s="12"/>
      <c r="U15" s="53"/>
      <c r="V15" s="53"/>
      <c r="W15" s="53"/>
      <c r="X15" s="53"/>
      <c r="Y15" s="53"/>
      <c r="Z15" s="53"/>
      <c r="AA15" s="53"/>
      <c r="AB15" s="53"/>
      <c r="AC15" s="53"/>
      <c r="AD15" s="53"/>
    </row>
    <row r="16" spans="2:30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2"/>
      <c r="T16" s="12"/>
      <c r="U16" s="53"/>
      <c r="V16" s="53"/>
      <c r="W16" s="53"/>
      <c r="X16" s="53"/>
      <c r="Y16" s="53"/>
      <c r="Z16" s="53"/>
      <c r="AA16" s="53"/>
      <c r="AB16" s="53"/>
      <c r="AC16" s="53"/>
      <c r="AD16" s="53"/>
    </row>
    <row r="17" spans="2:30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2"/>
      <c r="T17" s="12"/>
      <c r="U17" s="53"/>
      <c r="V17" s="53"/>
      <c r="W17" s="53"/>
      <c r="X17" s="53"/>
      <c r="Y17" s="53"/>
      <c r="Z17" s="53"/>
      <c r="AA17" s="53"/>
      <c r="AB17" s="53"/>
      <c r="AC17" s="53"/>
      <c r="AD17" s="53"/>
    </row>
    <row r="18" spans="2:30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2"/>
      <c r="T18" s="12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  <row r="19" spans="2:30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2"/>
      <c r="T19" s="12"/>
      <c r="U19" s="53"/>
      <c r="V19" s="53"/>
      <c r="W19" s="53"/>
      <c r="X19" s="53"/>
      <c r="Y19" s="53"/>
      <c r="Z19" s="53"/>
      <c r="AA19" s="53"/>
      <c r="AB19" s="53"/>
      <c r="AC19" s="53"/>
      <c r="AD19" s="53"/>
    </row>
    <row r="20" spans="2:30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2"/>
      <c r="T20" s="12"/>
      <c r="U20" s="53"/>
      <c r="V20" s="53"/>
      <c r="W20" s="53"/>
      <c r="X20" s="53"/>
      <c r="Y20" s="53"/>
      <c r="Z20" s="53"/>
      <c r="AA20" s="53"/>
      <c r="AB20" s="53"/>
      <c r="AC20" s="53"/>
      <c r="AD20" s="53"/>
    </row>
    <row r="21" spans="2:30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2"/>
      <c r="T21" s="12"/>
      <c r="U21" s="53"/>
      <c r="V21" s="53"/>
      <c r="W21" s="53"/>
      <c r="X21" s="53"/>
      <c r="Y21" s="53"/>
      <c r="Z21" s="53"/>
      <c r="AA21" s="53"/>
      <c r="AB21" s="53"/>
      <c r="AC21" s="53"/>
      <c r="AD21" s="53"/>
    </row>
    <row r="22" spans="2:30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2"/>
      <c r="T22" s="12"/>
      <c r="U22" s="53"/>
      <c r="V22" s="53"/>
      <c r="W22" s="53"/>
      <c r="X22" s="53"/>
      <c r="Y22" s="53"/>
      <c r="Z22" s="53"/>
      <c r="AA22" s="53"/>
      <c r="AB22" s="53"/>
      <c r="AC22" s="53"/>
      <c r="AD22" s="53"/>
    </row>
    <row r="23" spans="2:30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2"/>
      <c r="T23" s="12"/>
      <c r="U23" s="53"/>
      <c r="V23" s="53"/>
      <c r="W23" s="53"/>
      <c r="X23" s="53"/>
      <c r="Y23" s="53"/>
      <c r="Z23" s="53"/>
      <c r="AA23" s="53"/>
      <c r="AB23" s="53"/>
      <c r="AC23" s="53"/>
      <c r="AD23" s="53"/>
    </row>
    <row r="24" spans="2:30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2"/>
      <c r="T24" s="12"/>
      <c r="U24" s="53"/>
      <c r="V24" s="53"/>
      <c r="W24" s="53"/>
      <c r="X24" s="53"/>
      <c r="Y24" s="53"/>
      <c r="Z24" s="53"/>
      <c r="AA24" s="53"/>
      <c r="AB24" s="53"/>
      <c r="AC24" s="53"/>
      <c r="AD24" s="53"/>
    </row>
    <row r="25" spans="2:30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2"/>
      <c r="T25" s="12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 spans="2:30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2"/>
      <c r="T26" s="12"/>
      <c r="U26" s="53"/>
      <c r="V26" s="53"/>
      <c r="W26" s="53"/>
      <c r="X26" s="53"/>
      <c r="Y26" s="53"/>
      <c r="Z26" s="53"/>
      <c r="AA26" s="53"/>
      <c r="AB26" s="53"/>
      <c r="AC26" s="53"/>
      <c r="AD26" s="53"/>
    </row>
    <row r="27" spans="2:30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2"/>
      <c r="T27" s="12"/>
      <c r="U27" s="53"/>
      <c r="V27" s="53"/>
      <c r="W27" s="53"/>
      <c r="X27" s="53"/>
      <c r="Y27" s="53"/>
      <c r="Z27" s="53"/>
      <c r="AA27" s="53"/>
      <c r="AB27" s="53"/>
      <c r="AC27" s="53"/>
      <c r="AD27" s="53"/>
    </row>
    <row r="28" spans="2:30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2"/>
      <c r="T28" s="12"/>
      <c r="U28" s="53"/>
      <c r="V28" s="53"/>
      <c r="W28" s="53"/>
      <c r="X28" s="53"/>
      <c r="Y28" s="53"/>
      <c r="Z28" s="53"/>
      <c r="AA28" s="53"/>
      <c r="AB28" s="53"/>
      <c r="AC28" s="53"/>
      <c r="AD28" s="53"/>
    </row>
    <row r="29" spans="2:30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53"/>
      <c r="V29" s="53"/>
      <c r="W29" s="53"/>
      <c r="X29" s="53"/>
      <c r="Y29" s="53"/>
      <c r="Z29" s="53"/>
      <c r="AA29" s="53"/>
      <c r="AB29" s="53"/>
      <c r="AC29" s="53"/>
      <c r="AD29" s="53"/>
    </row>
    <row r="30" spans="2:30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53"/>
      <c r="V30" s="53"/>
      <c r="W30" s="53"/>
      <c r="X30" s="53"/>
      <c r="Y30" s="53"/>
      <c r="Z30" s="53"/>
      <c r="AA30" s="53"/>
      <c r="AB30" s="53"/>
      <c r="AC30" s="53"/>
      <c r="AD30" s="53"/>
    </row>
    <row r="31" spans="2:30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53"/>
      <c r="V31" s="53"/>
      <c r="W31" s="53"/>
      <c r="X31" s="53"/>
      <c r="Y31" s="53"/>
      <c r="Z31" s="53"/>
      <c r="AA31" s="53"/>
      <c r="AB31" s="53"/>
      <c r="AC31" s="53"/>
      <c r="AD31" s="53"/>
    </row>
    <row r="32" spans="2:30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53"/>
      <c r="V32" s="53"/>
      <c r="W32" s="53"/>
      <c r="X32" s="53"/>
      <c r="Y32" s="53"/>
      <c r="Z32" s="53"/>
      <c r="AA32" s="53"/>
      <c r="AB32" s="53"/>
      <c r="AC32" s="53"/>
      <c r="AD32" s="53"/>
    </row>
    <row r="33" spans="2:30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53"/>
      <c r="V33" s="53"/>
      <c r="W33" s="53"/>
      <c r="X33" s="53"/>
      <c r="Y33" s="53"/>
      <c r="Z33" s="53"/>
      <c r="AA33" s="53"/>
      <c r="AB33" s="53"/>
      <c r="AC33" s="53"/>
      <c r="AD33" s="53"/>
    </row>
    <row r="34" spans="2:30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 spans="2:30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53"/>
      <c r="V35" s="53"/>
      <c r="W35" s="53"/>
      <c r="X35" s="53"/>
      <c r="Y35" s="53"/>
      <c r="Z35" s="53"/>
      <c r="AA35" s="53"/>
      <c r="AB35" s="53"/>
      <c r="AC35" s="53"/>
      <c r="AD35" s="5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2026-05-09T15:03:39Z</dcterms:created>
  <dcterms:modified xsi:type="dcterms:W3CDTF">2026-05-09T21:22:08Z</dcterms:modified>
  <cp:category/>
  <cp:contentStatus/>
</cp:coreProperties>
</file>